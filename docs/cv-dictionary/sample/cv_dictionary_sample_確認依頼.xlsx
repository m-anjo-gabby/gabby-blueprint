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①確認事項（方針）" sheetId="2" state="visible" r:id="rId2"/>
    <sheet name="②確認事項（語別）" sheetId="3" state="visible" r:id="rId3"/>
    <sheet name="③登録データ一覧" sheetId="4" state="visible" r:id="rId4"/>
    <sheet name="Color Vowel 一覧" sheetId="5" state="visible" r:id="rId5"/>
  </sheets>
  <definedNames>
    <definedName name="_xlnm._FilterDatabase" localSheetId="2" hidden="1">'②確認事項（語別）'!$A$1:$P$12</definedName>
    <definedName name="_xlnm._FilterDatabase" localSheetId="3" hidden="1">'③登録データ一覧'!$A$1:$M$22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0E3196"/>
      <sz val="14"/>
    </font>
    <font>
      <name val="Meiryo UI"/>
      <b val="1"/>
      <sz val="10"/>
    </font>
    <font>
      <name val="Meiryo UI"/>
      <sz val="10"/>
    </font>
    <font>
      <name val="Meiryo UI"/>
      <b val="1"/>
      <color rgb="000E3196"/>
      <sz val="11"/>
    </font>
    <font>
      <name val="Meiryo UI"/>
      <b val="1"/>
      <color rgb="00FFFFFF"/>
      <sz val="10"/>
    </font>
    <font>
      <name val="Meiryo UI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E8EDF8"/>
      </patternFill>
    </fill>
    <fill>
      <patternFill patternType="solid">
        <fgColor rgb="00FFF2CC"/>
      </patternFill>
    </fill>
    <fill>
      <patternFill patternType="solid">
        <fgColor rgb="000E31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3" borderId="1" pivotButton="0" quotePrefix="0" xfId="0"/>
    <xf numFmtId="0" fontId="5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ColorVowel辞書データ 確認のお願い（サンプル）</t>
        </is>
      </c>
    </row>
    <row r="4">
      <c r="B4" s="2" t="inlineStr">
        <is>
          <t>対象データ</t>
        </is>
      </c>
      <c r="C4" s="3" t="inlineStr">
        <is>
          <t>cv_dictionary_sample.tsv</t>
        </is>
      </c>
    </row>
    <row r="5">
      <c r="B5" s="2" t="inlineStr">
        <is>
          <t>登録件数</t>
        </is>
      </c>
      <c r="C5" s="3" t="inlineStr">
        <is>
          <t>21語（英単語＋品詞の組み合わせ単位）</t>
        </is>
      </c>
    </row>
    <row r="6">
      <c r="B6" s="2" t="inlineStr">
        <is>
          <t>確認していただきたいこと</t>
        </is>
      </c>
      <c r="C6" s="3" t="inlineStr">
        <is>
          <t>① 方針の確認 6件　② 語ごとの確認 11件　③ 登録データ全体の確認（気づいた点があれば）</t>
        </is>
      </c>
    </row>
    <row r="7">
      <c r="B7" s="2" t="inlineStr">
        <is>
          <t>ご回答期限</t>
        </is>
      </c>
      <c r="C7" s="4" t="n"/>
    </row>
    <row r="8">
      <c r="B8" s="2" t="inlineStr">
        <is>
          <t>ご回答者</t>
        </is>
      </c>
      <c r="C8" s="4" t="n"/>
    </row>
    <row r="10">
      <c r="B10" s="5" t="inlineStr">
        <is>
          <t>シートの構成と確認の進め方</t>
        </is>
      </c>
    </row>
    <row r="11" ht="48" customHeight="1">
      <c r="B11" s="2" t="inlineStr">
        <is>
          <t>①確認事項（方針）</t>
        </is>
      </c>
      <c r="C11" s="3" t="inlineStr">
        <is>
          <t>複数の語にまとめて効く判断です。ここを先に決めていただくと、②の多くの語が自動的に決まります。「回答」列のプルダウンから選び、補足があれば「コメント」列に記入してください。</t>
        </is>
      </c>
    </row>
    <row r="12" ht="48" customHeight="1">
      <c r="B12" s="2" t="inlineStr">
        <is>
          <t>②確認事項（語別）</t>
        </is>
      </c>
      <c r="C12" s="3" t="inlineStr">
        <is>
          <t>発音や Color Vowel の判断が分かれる語の一覧です。「方針」列に P-01 などがある語は①の回答に従うため、例外にしたい場合だけ記入してください。方針が空欄の語は、1語ずつ「回答」列を選んでください。変更する場合は「修正後」の列に正しい値を記入してください。</t>
        </is>
      </c>
    </row>
    <row r="13" ht="48" customHeight="1">
      <c r="B13" s="2" t="inlineStr">
        <is>
          <t>③登録データ一覧</t>
        </is>
      </c>
      <c r="C13" s="3" t="inlineStr">
        <is>
          <t>登録済みの全データです。フィルターで絞り込めます。誤り・違和感があれば「指摘・コメント」列に記入してください（日本語訳の表現なども歓迎です）。「要確認ID」がある行は②に載っている語です。</t>
        </is>
      </c>
    </row>
    <row r="14" ht="48" customHeight="1">
      <c r="B14" s="2" t="inlineStr">
        <is>
          <t>Color Vowel 一覧</t>
        </is>
      </c>
      <c r="C14" s="3" t="inlineStr">
        <is>
          <t>Color Vowel と発音記号（IPA）の対応表です。判断の参考にしてください。</t>
        </is>
      </c>
    </row>
    <row r="16">
      <c r="B16" s="5" t="inlineStr">
        <is>
          <t>記入のルール</t>
        </is>
      </c>
    </row>
    <row r="17">
      <c r="B17" s="6" t="inlineStr">
        <is>
          <t>記入欄</t>
        </is>
      </c>
      <c r="C17" s="3" t="inlineStr">
        <is>
          <t>黄色のセルが記入欄です。それ以外のセルは変更しないでください（回答の取り込みに使います）。</t>
        </is>
      </c>
    </row>
    <row r="18" ht="32" customHeight="1">
      <c r="B18" s="2" t="inlineStr">
        <is>
          <t>記入例</t>
        </is>
      </c>
      <c r="C18" s="3" t="inlineStr">
        <is>
          <t>②で year を SILVER PIN に変えたい場合 → 回答「候補に変更」、修正後 Color Vowel「silver_pin」、修正後 発音記号は変更がなければ空欄のままで構いません。</t>
        </is>
      </c>
    </row>
    <row r="20">
      <c r="B20" s="5" t="inlineStr">
        <is>
          <t>用語</t>
        </is>
      </c>
    </row>
    <row r="21">
      <c r="B21" s="2" t="inlineStr">
        <is>
          <t>音節</t>
        </is>
      </c>
      <c r="C21" s="3" t="inlineStr">
        <is>
          <t>ハイフンで区切った音のまとまり（例: ac-cel-er-ate）</t>
        </is>
      </c>
    </row>
    <row r="22">
      <c r="B22" s="2" t="inlineStr">
        <is>
          <t>第一アクセント音節</t>
        </is>
      </c>
      <c r="C22" s="3" t="inlineStr">
        <is>
          <t>一番強く読む音節が何番目か（例: ac-cel-er-ate → 2）</t>
        </is>
      </c>
    </row>
    <row r="23">
      <c r="B23" s="2" t="inlineStr">
        <is>
          <t>アクセント母音の綴り</t>
        </is>
      </c>
      <c r="C23" s="3" t="inlineStr">
        <is>
          <t>第一アクセント音節の中で母音を表している文字（例: cel → e）</t>
        </is>
      </c>
    </row>
    <row r="24">
      <c r="B24" s="2" t="inlineStr">
        <is>
          <t>Color Vowel</t>
        </is>
      </c>
      <c r="C24" s="3" t="inlineStr">
        <is>
          <t>第一アクセント母音の Color Vowel（アプリで色として表示される）</t>
        </is>
      </c>
    </row>
    <row r="25">
      <c r="B25" s="2" t="inlineStr">
        <is>
          <t>発音記号</t>
        </is>
      </c>
      <c r="C25" s="3" t="inlineStr">
        <is>
          <t>米国英語の発音記号（IPA）。ˈ の直後が第一アクセント</t>
        </is>
      </c>
    </row>
    <row r="26">
      <c r="B26" s="2" t="inlineStr">
        <is>
          <t>原形</t>
        </is>
      </c>
      <c r="C26" s="3" t="inlineStr">
        <is>
          <t>語形変化した語の元の形（例: accelerated → accelerate）。原形そのものの語は空欄</t>
        </is>
      </c>
    </row>
  </sheetData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48" customWidth="1" min="3" max="3"/>
    <col width="40" customWidth="1" min="4" max="4"/>
    <col width="14" customWidth="1" min="5" max="5"/>
    <col width="28" customWidth="1" min="6" max="6"/>
    <col width="22" customWidth="1" min="7" max="7"/>
    <col width="26" customWidth="1" min="8" max="8"/>
    <col width="36" customWidth="1" min="9" max="9"/>
  </cols>
  <sheetData>
    <row r="1">
      <c r="A1" s="7" t="inlineStr">
        <is>
          <t>ID</t>
        </is>
      </c>
      <c r="B1" s="7" t="inlineStr">
        <is>
          <t>論点</t>
        </is>
      </c>
      <c r="C1" s="7" t="inlineStr">
        <is>
          <t>確認したいこと</t>
        </is>
      </c>
      <c r="D1" s="7" t="inlineStr">
        <is>
          <t>対象の語</t>
        </is>
      </c>
      <c r="E1" s="7" t="inlineStr">
        <is>
          <t>件数</t>
        </is>
      </c>
      <c r="F1" s="7" t="inlineStr">
        <is>
          <t>現在の設定</t>
        </is>
      </c>
      <c r="G1" s="7" t="inlineStr">
        <is>
          <t>候補</t>
        </is>
      </c>
      <c r="H1" s="7" t="inlineStr">
        <is>
          <t>回答</t>
        </is>
      </c>
      <c r="I1" s="7" t="inlineStr">
        <is>
          <t>コメント</t>
        </is>
      </c>
    </row>
    <row r="2" ht="75" customHeight="1">
      <c r="A2" s="8" t="inlineStr">
        <is>
          <t>P-01</t>
        </is>
      </c>
      <c r="B2" s="9" t="inlineStr">
        <is>
          <t>R音化母音 /ɛr/ の Color Vowel</t>
        </is>
      </c>
      <c r="C2" s="3" t="inlineStr">
        <is>
          <t>share, there, where のように「母音＋r」になる /ɛr/ を、どの Color Vowel に割り当てるか。</t>
        </is>
      </c>
      <c r="D2" s="3" t="inlineStr">
        <is>
          <t>share, there</t>
        </is>
      </c>
      <c r="E2" s="8" t="inlineStr">
        <is>
          <t>2件</t>
        </is>
      </c>
      <c r="F2" s="3" t="inlineStr">
        <is>
          <t>RED PEPPER（red_pepper）</t>
        </is>
      </c>
      <c r="G2" s="3" t="inlineStr">
        <is>
          <t>RED PEPPER / GRAY DAY</t>
        </is>
      </c>
      <c r="H2" s="4" t="n"/>
      <c r="I2" s="4" t="n"/>
    </row>
    <row r="3" ht="75" customHeight="1">
      <c r="A3" s="8" t="inlineStr">
        <is>
          <t>P-02</t>
        </is>
      </c>
      <c r="B3" s="9" t="inlineStr">
        <is>
          <t>R音化母音 /ɪr/ の Color Vowel</t>
        </is>
      </c>
      <c r="C3" s="3" t="inlineStr">
        <is>
          <t>year, clear のように「母音＋r」になる /ɪr/ を、どの Color Vowel に割り当てるか。</t>
        </is>
      </c>
      <c r="D3" s="3" t="inlineStr">
        <is>
          <t>clear, year</t>
        </is>
      </c>
      <c r="E3" s="8" t="inlineStr">
        <is>
          <t>2件</t>
        </is>
      </c>
      <c r="F3" s="3" t="inlineStr">
        <is>
          <t>GREEN TEA（green_tea）</t>
        </is>
      </c>
      <c r="G3" s="3" t="inlineStr">
        <is>
          <t>GREEN TEA / SILVER PIN</t>
        </is>
      </c>
      <c r="H3" s="4" t="n"/>
      <c r="I3" s="4" t="n"/>
    </row>
    <row r="4" ht="75" customHeight="1">
      <c r="A4" s="8" t="inlineStr">
        <is>
          <t>P-03</t>
        </is>
      </c>
      <c r="B4" s="9" t="inlineStr">
        <is>
          <t>R音化母音 /ʊr/ の Color Vowel</t>
        </is>
      </c>
      <c r="C4" s="3" t="inlineStr">
        <is>
          <t>secure, during のように「母音＋r」になる /ʊr/ を、どの Color Vowel に割り当てるか。ensure / ensures は /ɪnˈʃɔːr/（ORANGE DOOR）と読む場合もあります。</t>
        </is>
      </c>
      <c r="D4" s="3" t="inlineStr">
        <is>
          <t>secure</t>
        </is>
      </c>
      <c r="E4" s="8" t="inlineStr">
        <is>
          <t>1件</t>
        </is>
      </c>
      <c r="F4" s="3" t="inlineStr">
        <is>
          <t>WOODEN HOOK（wooden_hook）</t>
        </is>
      </c>
      <c r="G4" s="3" t="inlineStr">
        <is>
          <t>WOODEN HOOK / BLUE MOON</t>
        </is>
      </c>
      <c r="H4" s="4" t="n"/>
      <c r="I4" s="4" t="n"/>
    </row>
    <row r="5" ht="75" customHeight="1">
      <c r="A5" s="8" t="inlineStr">
        <is>
          <t>P-04</t>
        </is>
      </c>
      <c r="B5" s="9" t="inlineStr">
        <is>
          <t>米国発音で /ɔ/ と /ɑ/ の2通りある語</t>
        </is>
      </c>
      <c r="C5" s="3" t="inlineStr">
        <is>
          <t>offer, office, cost, launch, strong などは、米国では /ɔ/（AUBURN DOG）と /ɑ/（OLIVE SOCK）のどちらの発音も一般的です。どちらに揃えるか。</t>
        </is>
      </c>
      <c r="D5" s="3" t="inlineStr">
        <is>
          <t>cost, launch, office</t>
        </is>
      </c>
      <c r="E5" s="8" t="inlineStr">
        <is>
          <t>3件</t>
        </is>
      </c>
      <c r="F5" s="3" t="inlineStr">
        <is>
          <t>AUBURN DOG（auburn_dog）</t>
        </is>
      </c>
      <c r="G5" s="3" t="inlineStr">
        <is>
          <t>AUBURN DOG / OLIVE SOCK</t>
        </is>
      </c>
      <c r="H5" s="4" t="n"/>
      <c r="I5" s="4" t="n"/>
    </row>
    <row r="6" ht="75" customHeight="1">
      <c r="A6" s="8" t="inlineStr">
        <is>
          <t>P-05</t>
        </is>
      </c>
      <c r="B6" s="9" t="inlineStr">
        <is>
          <t>機能語（冠詞・前置詞・代名詞など）の発音</t>
        </is>
      </c>
      <c r="C6" s="3" t="inlineStr">
        <is>
          <t>the, for, to などは会話では弱く（the /ðə/、for /fər/）発音されることが多いですが、辞書には1つの発音しか登録できません。辞書の見出し発音（強く読む形）で統一してよいか。</t>
        </is>
      </c>
      <c r="D6" s="3" t="inlineStr">
        <is>
          <t>for, the</t>
        </is>
      </c>
      <c r="E6" s="8" t="inlineStr">
        <is>
          <t>2語（冠詞・前置詞・代名詞・接続詞）</t>
        </is>
      </c>
      <c r="F6" s="3" t="inlineStr">
        <is>
          <t>強く読む形で統一（例: the /ðiː/ GREEN TEA、for /fɔːr/ ORANGE DOOR）</t>
        </is>
      </c>
      <c r="G6" s="3" t="inlineStr">
        <is>
          <t>強く読む形 / 弱く読む形</t>
        </is>
      </c>
      <c r="H6" s="4" t="n"/>
      <c r="I6" s="4" t="n"/>
    </row>
    <row r="7" ht="75" customHeight="1">
      <c r="A7" s="8" t="inlineStr">
        <is>
          <t>P-06</t>
        </is>
      </c>
      <c r="B7" s="9" t="inlineStr">
        <is>
          <t>略語（1文字ずつ読むもの）の扱い</t>
        </is>
      </c>
      <c r="C7" s="3" t="inlineStr">
        <is>
          <t>CEO のような略語は、1文字を1音節（C-E-O）とし、最後の文字にアクセントを置いて、その文字の読み（O /oʊ/ → ROSE BOAT）で Color Vowel を決めています。この扱いでよいか。</t>
        </is>
      </c>
      <c r="D7" s="3" t="inlineStr">
        <is>
          <t>CEO</t>
        </is>
      </c>
      <c r="E7" s="8" t="inlineStr">
        <is>
          <t>1語</t>
        </is>
      </c>
      <c r="F7" s="3" t="inlineStr">
        <is>
          <t>例: CEO → C-E-O / 3音節目 / ROSE BOAT /ˌsiːiːˈoʊ/</t>
        </is>
      </c>
      <c r="G7" s="3" t="inlineStr">
        <is>
          <t>—</t>
        </is>
      </c>
      <c r="H7" s="4" t="n"/>
      <c r="I7" s="4" t="n"/>
    </row>
    <row r="9">
      <c r="A9" s="10" t="inlineStr">
        <is>
          <t>※ 対象の語は今回のデータに含まれるもの。決まった方針は今後作成する辞書データにも適用します。</t>
        </is>
      </c>
    </row>
  </sheetData>
  <dataValidations count="6">
    <dataValidation sqref="H2" showDropDown="0" showInputMessage="0" showErrorMessage="0" allowBlank="1" type="list">
      <formula1>"RED PEPPER で統一,GRAY DAY で統一,その他（コメント欄に記入）"</formula1>
    </dataValidation>
    <dataValidation sqref="H3" showDropDown="0" showInputMessage="0" showErrorMessage="0" allowBlank="1" type="list">
      <formula1>"GREEN TEA で統一,SILVER PIN で統一,その他（コメント欄に記入）"</formula1>
    </dataValidation>
    <dataValidation sqref="H4" showDropDown="0" showInputMessage="0" showErrorMessage="0" allowBlank="1" type="list">
      <formula1>"WOODEN HOOK で統一,BLUE MOON で統一,その他（コメント欄に記入）"</formula1>
    </dataValidation>
    <dataValidation sqref="H5" showDropDown="0" showInputMessage="0" showErrorMessage="0" allowBlank="1" type="list">
      <formula1>"AUBURN DOG で統一,OLIVE SOCK で統一,語ごとに判断（「語別」シートに記入）,その他（コメント欄に記入）"</formula1>
    </dataValidation>
    <dataValidation sqref="H6" showDropDown="0" showInputMessage="0" showErrorMessage="0" allowBlank="1" type="list">
      <formula1>"強く読む形のままでよい,弱く読む形に変更,その他（コメント欄に記入）"</formula1>
    </dataValidation>
    <dataValidation sqref="H7" showDropDown="0" showInputMessage="0" showErrorMessage="0" allowBlank="1" type="list">
      <formula1>"この扱いでよい,その他（コメント欄に記入）"</formula1>
    </dataValidation>
  </dataValidation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3" customWidth="1" min="4" max="4"/>
    <col width="9" customWidth="1" min="5" max="5"/>
    <col width="15" customWidth="1" min="6" max="6"/>
    <col width="10" customWidth="1" min="7" max="7"/>
    <col width="10" customWidth="1" min="8" max="8"/>
    <col width="16" customWidth="1" min="9" max="9"/>
    <col width="18" customWidth="1" min="10" max="10"/>
    <col width="46" customWidth="1" min="11" max="11"/>
    <col width="22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 ht="32" customHeight="1">
      <c r="A1" s="7" t="inlineStr">
        <is>
          <t>要確認ID</t>
        </is>
      </c>
      <c r="B1" s="7" t="inlineStr">
        <is>
          <t>分類</t>
        </is>
      </c>
      <c r="C1" s="7" t="inlineStr">
        <is>
          <t>方針</t>
        </is>
      </c>
      <c r="D1" s="7" t="inlineStr">
        <is>
          <t>英単語</t>
        </is>
      </c>
      <c r="E1" s="7" t="inlineStr">
        <is>
          <t>品詞</t>
        </is>
      </c>
      <c r="F1" s="7" t="inlineStr">
        <is>
          <t>音節</t>
        </is>
      </c>
      <c r="G1" s="7" t="inlineStr">
        <is>
          <t>第一アクセント音節</t>
        </is>
      </c>
      <c r="H1" s="7" t="inlineStr">
        <is>
          <t>アクセント母音の綴り</t>
        </is>
      </c>
      <c r="I1" s="7" t="inlineStr">
        <is>
          <t>Color Vowel</t>
        </is>
      </c>
      <c r="J1" s="7" t="inlineStr">
        <is>
          <t>発音記号</t>
        </is>
      </c>
      <c r="K1" s="7" t="inlineStr">
        <is>
          <t>確認したいこと</t>
        </is>
      </c>
      <c r="L1" s="7" t="inlineStr">
        <is>
          <t>回答</t>
        </is>
      </c>
      <c r="M1" s="7" t="inlineStr">
        <is>
          <t>修正後 Color Vowel</t>
        </is>
      </c>
      <c r="N1" s="7" t="inlineStr">
        <is>
          <t>修正後 発音記号</t>
        </is>
      </c>
      <c r="O1" s="7" t="inlineStr">
        <is>
          <t>修正後 音節・アクセント位置</t>
        </is>
      </c>
      <c r="P1" s="7" t="inlineStr">
        <is>
          <t>コメント</t>
        </is>
      </c>
    </row>
    <row r="2">
      <c r="A2" s="8" t="inlineStr">
        <is>
          <t>CVR-0037</t>
        </is>
      </c>
      <c r="B2" s="3" t="inlineStr">
        <is>
          <t>R音化母音</t>
        </is>
      </c>
      <c r="C2" s="8" t="inlineStr">
        <is>
          <t>P-01</t>
        </is>
      </c>
      <c r="D2" s="9" t="inlineStr">
        <is>
          <t>share</t>
        </is>
      </c>
      <c r="E2" s="8" t="inlineStr">
        <is>
          <t>名詞</t>
        </is>
      </c>
      <c r="F2" s="3" t="inlineStr">
        <is>
          <t>share</t>
        </is>
      </c>
      <c r="G2" s="8" t="n">
        <v>1</v>
      </c>
      <c r="H2" s="8" t="inlineStr">
        <is>
          <t>a</t>
        </is>
      </c>
      <c r="I2" s="3" t="inlineStr">
        <is>
          <t>RED PEPPER
(red_pepper)</t>
        </is>
      </c>
      <c r="J2" s="3" t="inlineStr">
        <is>
          <t>/ʃɛr/</t>
        </is>
      </c>
      <c r="K2" s="3" t="inlineStr">
        <is>
          <t>R音化母音 /ɛr/ の cv_id 要確認（red_pepper / gray_day）</t>
        </is>
      </c>
      <c r="L2" s="4" t="inlineStr">
        <is>
          <t>方針の回答に従う</t>
        </is>
      </c>
      <c r="M2" s="4" t="n"/>
      <c r="N2" s="4" t="n"/>
      <c r="O2" s="4" t="n"/>
      <c r="P2" s="4" t="n"/>
    </row>
    <row r="3">
      <c r="A3" s="8" t="inlineStr">
        <is>
          <t>CVR-0043</t>
        </is>
      </c>
      <c r="B3" s="3" t="inlineStr">
        <is>
          <t>R音化母音</t>
        </is>
      </c>
      <c r="C3" s="8" t="inlineStr">
        <is>
          <t>P-01</t>
        </is>
      </c>
      <c r="D3" s="9" t="inlineStr">
        <is>
          <t>there</t>
        </is>
      </c>
      <c r="E3" s="8" t="inlineStr">
        <is>
          <t>副詞</t>
        </is>
      </c>
      <c r="F3" s="3" t="inlineStr">
        <is>
          <t>there</t>
        </is>
      </c>
      <c r="G3" s="8" t="n">
        <v>1</v>
      </c>
      <c r="H3" s="8" t="inlineStr">
        <is>
          <t>e</t>
        </is>
      </c>
      <c r="I3" s="3" t="inlineStr">
        <is>
          <t>RED PEPPER
(red_pepper)</t>
        </is>
      </c>
      <c r="J3" s="3" t="inlineStr">
        <is>
          <t>/ðɛr/</t>
        </is>
      </c>
      <c r="K3" s="3" t="inlineStr">
        <is>
          <t>R音化母音 /ɛr/ の cv_id 要確認（red_pepper / gray_day）</t>
        </is>
      </c>
      <c r="L3" s="4" t="inlineStr">
        <is>
          <t>方針の回答に従う</t>
        </is>
      </c>
      <c r="M3" s="4" t="n"/>
      <c r="N3" s="4" t="n"/>
      <c r="O3" s="4" t="n"/>
      <c r="P3" s="4" t="n"/>
    </row>
    <row r="4">
      <c r="A4" s="8" t="inlineStr">
        <is>
          <t>CVR-0004</t>
        </is>
      </c>
      <c r="B4" s="3" t="inlineStr">
        <is>
          <t>R音化母音</t>
        </is>
      </c>
      <c r="C4" s="8" t="inlineStr">
        <is>
          <t>P-02</t>
        </is>
      </c>
      <c r="D4" s="9" t="inlineStr">
        <is>
          <t>clear</t>
        </is>
      </c>
      <c r="E4" s="8" t="inlineStr">
        <is>
          <t>形容詞</t>
        </is>
      </c>
      <c r="F4" s="3" t="inlineStr">
        <is>
          <t>clear</t>
        </is>
      </c>
      <c r="G4" s="8" t="n">
        <v>1</v>
      </c>
      <c r="H4" s="8" t="inlineStr">
        <is>
          <t>ea</t>
        </is>
      </c>
      <c r="I4" s="3" t="inlineStr">
        <is>
          <t>GREEN TEA
(green_tea)</t>
        </is>
      </c>
      <c r="J4" s="3" t="inlineStr">
        <is>
          <t>/klɪr/</t>
        </is>
      </c>
      <c r="K4" s="3" t="inlineStr">
        <is>
          <t>R音化母音 /ɪr/ の cv_id 要確認（green_tea / silver_pin）</t>
        </is>
      </c>
      <c r="L4" s="4" t="inlineStr">
        <is>
          <t>方針の回答に従う</t>
        </is>
      </c>
      <c r="M4" s="4" t="n"/>
      <c r="N4" s="4" t="n"/>
      <c r="O4" s="4" t="n"/>
      <c r="P4" s="4" t="n"/>
    </row>
    <row r="5">
      <c r="A5" s="8" t="inlineStr">
        <is>
          <t>CVR-0047</t>
        </is>
      </c>
      <c r="B5" s="3" t="inlineStr">
        <is>
          <t>R音化母音</t>
        </is>
      </c>
      <c r="C5" s="8" t="inlineStr">
        <is>
          <t>P-02</t>
        </is>
      </c>
      <c r="D5" s="9" t="inlineStr">
        <is>
          <t>year</t>
        </is>
      </c>
      <c r="E5" s="8" t="inlineStr">
        <is>
          <t>名詞</t>
        </is>
      </c>
      <c r="F5" s="3" t="inlineStr">
        <is>
          <t>year</t>
        </is>
      </c>
      <c r="G5" s="8" t="n">
        <v>1</v>
      </c>
      <c r="H5" s="8" t="inlineStr">
        <is>
          <t>ea</t>
        </is>
      </c>
      <c r="I5" s="3" t="inlineStr">
        <is>
          <t>GREEN TEA
(green_tea)</t>
        </is>
      </c>
      <c r="J5" s="3" t="inlineStr">
        <is>
          <t>/jɪr/</t>
        </is>
      </c>
      <c r="K5" s="3" t="inlineStr">
        <is>
          <t>R音化母音 /ɪr/ の cv_id 要確認（green_tea / silver_pin）</t>
        </is>
      </c>
      <c r="L5" s="4" t="inlineStr">
        <is>
          <t>方針の回答に従う</t>
        </is>
      </c>
      <c r="M5" s="4" t="n"/>
      <c r="N5" s="4" t="n"/>
      <c r="O5" s="4" t="n"/>
      <c r="P5" s="4" t="n"/>
    </row>
    <row r="6">
      <c r="A6" s="8" t="inlineStr">
        <is>
          <t>CVR-0035</t>
        </is>
      </c>
      <c r="B6" s="3" t="inlineStr">
        <is>
          <t>R音化母音</t>
        </is>
      </c>
      <c r="C6" s="8" t="inlineStr">
        <is>
          <t>P-03</t>
        </is>
      </c>
      <c r="D6" s="9" t="inlineStr">
        <is>
          <t>secure</t>
        </is>
      </c>
      <c r="E6" s="8" t="inlineStr">
        <is>
          <t>動詞</t>
        </is>
      </c>
      <c r="F6" s="3" t="inlineStr">
        <is>
          <t>se-cure</t>
        </is>
      </c>
      <c r="G6" s="8" t="n">
        <v>2</v>
      </c>
      <c r="H6" s="8" t="inlineStr">
        <is>
          <t>u</t>
        </is>
      </c>
      <c r="I6" s="3" t="inlineStr">
        <is>
          <t>WOODEN HOOK
(wooden_hook)</t>
        </is>
      </c>
      <c r="J6" s="3" t="inlineStr">
        <is>
          <t>/sɪˈkjʊr/</t>
        </is>
      </c>
      <c r="K6" s="3" t="inlineStr">
        <is>
          <t>R音化母音 /ʊr/ の cv_id 要確認（wooden_hook / blue_moon）</t>
        </is>
      </c>
      <c r="L6" s="4" t="inlineStr">
        <is>
          <t>方針の回答に従う</t>
        </is>
      </c>
      <c r="M6" s="4" t="n"/>
      <c r="N6" s="4" t="n"/>
      <c r="O6" s="4" t="n"/>
      <c r="P6" s="4" t="n"/>
    </row>
    <row r="7">
      <c r="A7" s="8" t="inlineStr">
        <is>
          <t>CVR-0007</t>
        </is>
      </c>
      <c r="B7" s="3" t="inlineStr">
        <is>
          <t>発音の揺れ</t>
        </is>
      </c>
      <c r="C7" s="8" t="inlineStr">
        <is>
          <t>P-04</t>
        </is>
      </c>
      <c r="D7" s="9" t="inlineStr">
        <is>
          <t>cost</t>
        </is>
      </c>
      <c r="E7" s="8" t="inlineStr">
        <is>
          <t>名詞</t>
        </is>
      </c>
      <c r="F7" s="3" t="inlineStr">
        <is>
          <t>cost</t>
        </is>
      </c>
      <c r="G7" s="8" t="n">
        <v>1</v>
      </c>
      <c r="H7" s="8" t="inlineStr">
        <is>
          <t>o</t>
        </is>
      </c>
      <c r="I7" s="3" t="inlineStr">
        <is>
          <t>AUBURN DOG
(auburn_dog)</t>
        </is>
      </c>
      <c r="J7" s="3" t="inlineStr">
        <is>
          <t>/kɔːst/</t>
        </is>
      </c>
      <c r="K7" s="3" t="inlineStr">
        <is>
          <t>米国では /kɑːst/（olive_sock）も一般的</t>
        </is>
      </c>
      <c r="L7" s="4" t="inlineStr">
        <is>
          <t>方針の回答に従う</t>
        </is>
      </c>
      <c r="M7" s="4" t="n"/>
      <c r="N7" s="4" t="n"/>
      <c r="O7" s="4" t="n"/>
      <c r="P7" s="4" t="n"/>
    </row>
    <row r="8">
      <c r="A8" s="8" t="inlineStr">
        <is>
          <t>CVR-0020</t>
        </is>
      </c>
      <c r="B8" s="3" t="inlineStr">
        <is>
          <t>発音の揺れ</t>
        </is>
      </c>
      <c r="C8" s="8" t="inlineStr">
        <is>
          <t>P-04</t>
        </is>
      </c>
      <c r="D8" s="9" t="inlineStr">
        <is>
          <t>launch</t>
        </is>
      </c>
      <c r="E8" s="8" t="inlineStr">
        <is>
          <t>動詞</t>
        </is>
      </c>
      <c r="F8" s="3" t="inlineStr">
        <is>
          <t>launch</t>
        </is>
      </c>
      <c r="G8" s="8" t="n">
        <v>1</v>
      </c>
      <c r="H8" s="8" t="inlineStr">
        <is>
          <t>au</t>
        </is>
      </c>
      <c r="I8" s="3" t="inlineStr">
        <is>
          <t>AUBURN DOG
(auburn_dog)</t>
        </is>
      </c>
      <c r="J8" s="3" t="inlineStr">
        <is>
          <t>/lɔːntʃ/</t>
        </is>
      </c>
      <c r="K8" s="3" t="inlineStr">
        <is>
          <t>米国では /lɑːntʃ/（olive_sock）も一般的</t>
        </is>
      </c>
      <c r="L8" s="4" t="inlineStr">
        <is>
          <t>方針の回答に従う</t>
        </is>
      </c>
      <c r="M8" s="4" t="n"/>
      <c r="N8" s="4" t="n"/>
      <c r="O8" s="4" t="n"/>
      <c r="P8" s="4" t="n"/>
    </row>
    <row r="9">
      <c r="A9" s="8" t="inlineStr">
        <is>
          <t>CVR-0029</t>
        </is>
      </c>
      <c r="B9" s="3" t="inlineStr">
        <is>
          <t>発音の揺れ</t>
        </is>
      </c>
      <c r="C9" s="8" t="inlineStr">
        <is>
          <t>P-04</t>
        </is>
      </c>
      <c r="D9" s="9" t="inlineStr">
        <is>
          <t>office</t>
        </is>
      </c>
      <c r="E9" s="8" t="inlineStr">
        <is>
          <t>名詞</t>
        </is>
      </c>
      <c r="F9" s="3" t="inlineStr">
        <is>
          <t>of-fice</t>
        </is>
      </c>
      <c r="G9" s="8" t="n">
        <v>1</v>
      </c>
      <c r="H9" s="8" t="inlineStr">
        <is>
          <t>o</t>
        </is>
      </c>
      <c r="I9" s="3" t="inlineStr">
        <is>
          <t>AUBURN DOG
(auburn_dog)</t>
        </is>
      </c>
      <c r="J9" s="3" t="inlineStr">
        <is>
          <t>/ˈɔːfɪs/</t>
        </is>
      </c>
      <c r="K9" s="3" t="inlineStr">
        <is>
          <t>米国では /ˈɑːfɪs/（olive_sock）も一般的</t>
        </is>
      </c>
      <c r="L9" s="4" t="inlineStr">
        <is>
          <t>方針の回答に従う</t>
        </is>
      </c>
      <c r="M9" s="4" t="n"/>
      <c r="N9" s="4" t="n"/>
      <c r="O9" s="4" t="n"/>
      <c r="P9" s="4" t="n"/>
    </row>
    <row r="10">
      <c r="A10" s="8" t="inlineStr">
        <is>
          <t>CVR-0032</t>
        </is>
      </c>
      <c r="B10" s="3" t="inlineStr">
        <is>
          <t>その他</t>
        </is>
      </c>
      <c r="C10" s="8" t="n"/>
      <c r="D10" s="9" t="inlineStr">
        <is>
          <t>read</t>
        </is>
      </c>
      <c r="E10" s="8" t="inlineStr">
        <is>
          <t>動詞</t>
        </is>
      </c>
      <c r="F10" s="3" t="inlineStr">
        <is>
          <t>read</t>
        </is>
      </c>
      <c r="G10" s="8" t="n">
        <v>1</v>
      </c>
      <c r="H10" s="8" t="inlineStr">
        <is>
          <t>ea</t>
        </is>
      </c>
      <c r="I10" s="3" t="inlineStr">
        <is>
          <t>GREEN TEA
(green_tea)</t>
        </is>
      </c>
      <c r="J10" s="3" t="inlineStr">
        <is>
          <t>/riːd/</t>
        </is>
      </c>
      <c r="K10" s="3" t="inlineStr">
        <is>
          <t>過去形・過去分詞は /rɛd/（red_pepper）。例文には過去形の用法もある</t>
        </is>
      </c>
      <c r="L10" s="4" t="n"/>
      <c r="M10" s="4" t="n"/>
      <c r="N10" s="4" t="n"/>
      <c r="O10" s="4" t="n"/>
      <c r="P10" s="4" t="n"/>
    </row>
    <row r="11">
      <c r="A11" s="8" t="inlineStr">
        <is>
          <t>CVR-0009</t>
        </is>
      </c>
      <c r="B11" s="3" t="inlineStr">
        <is>
          <t>発音の揺れ</t>
        </is>
      </c>
      <c r="C11" s="8" t="n"/>
      <c r="D11" s="9" t="inlineStr">
        <is>
          <t>data</t>
        </is>
      </c>
      <c r="E11" s="8" t="inlineStr">
        <is>
          <t>名詞</t>
        </is>
      </c>
      <c r="F11" s="3" t="inlineStr">
        <is>
          <t>da-ta</t>
        </is>
      </c>
      <c r="G11" s="8" t="n">
        <v>1</v>
      </c>
      <c r="H11" s="8" t="inlineStr">
        <is>
          <t>a</t>
        </is>
      </c>
      <c r="I11" s="3" t="inlineStr">
        <is>
          <t>GRAY DAY
(gray_day)</t>
        </is>
      </c>
      <c r="J11" s="3" t="inlineStr">
        <is>
          <t>/ˈdeɪtə/</t>
        </is>
      </c>
      <c r="K11" s="3" t="inlineStr">
        <is>
          <t>米国では /ˈdætə/（black_cat）も一般的</t>
        </is>
      </c>
      <c r="L11" s="4" t="n"/>
      <c r="M11" s="4" t="n"/>
      <c r="N11" s="4" t="n"/>
      <c r="O11" s="4" t="n"/>
      <c r="P11" s="4" t="n"/>
    </row>
    <row r="12">
      <c r="A12" s="8" t="inlineStr">
        <is>
          <t>CVR-0045</t>
        </is>
      </c>
      <c r="B12" s="3" t="inlineStr">
        <is>
          <t>発音の揺れ</t>
        </is>
      </c>
      <c r="C12" s="8" t="n"/>
      <c r="D12" s="9" t="inlineStr">
        <is>
          <t>want</t>
        </is>
      </c>
      <c r="E12" s="8" t="inlineStr">
        <is>
          <t>動詞</t>
        </is>
      </c>
      <c r="F12" s="3" t="inlineStr">
        <is>
          <t>want</t>
        </is>
      </c>
      <c r="G12" s="8" t="n">
        <v>1</v>
      </c>
      <c r="H12" s="8" t="inlineStr">
        <is>
          <t>a</t>
        </is>
      </c>
      <c r="I12" s="3" t="inlineStr">
        <is>
          <t>OLIVE SOCK
(olive_sock)</t>
        </is>
      </c>
      <c r="J12" s="3" t="inlineStr">
        <is>
          <t>/wɑːnt/</t>
        </is>
      </c>
      <c r="K12" s="3" t="inlineStr">
        <is>
          <t>/wʌnt/（cup_of_mustard）も一般的</t>
        </is>
      </c>
      <c r="L12" s="4" t="n"/>
      <c r="M12" s="4" t="n"/>
      <c r="N12" s="4" t="n"/>
      <c r="O12" s="4" t="n"/>
      <c r="P12" s="4" t="n"/>
    </row>
  </sheetData>
  <autoFilter ref="A1:P12"/>
  <dataValidations count="3">
    <dataValidation sqref="L2 L3 L4 L5 L6 L7 L8 L9" showDropDown="0" showInputMessage="0" showErrorMessage="0" allowBlank="1" type="list">
      <formula1>"方針の回答に従う,この語は現状のままでよい,候補に変更,その他（コメント欄に記入）"</formula1>
    </dataValidation>
    <dataValidation sqref="L10 L11 L12" showDropDown="0" showInputMessage="0" showErrorMessage="0" allowBlank="1" type="list">
      <formula1>"現状のままでよい,候補に変更,その他（コメント欄に記入）"</formula1>
    </dataValidation>
    <dataValidation sqref="M2 M3 M4 M5 M6 M7 M8 M9 M10 M11 M12" showDropDown="0" showInputMessage="0" showErrorMessage="0" allowBlank="1" type="list">
      <formula1>='Color Vowel 一覧'!$A$2:$A$17</formula1>
    </dataValidation>
  </dataValidation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40" customWidth="1" min="4" max="4"/>
    <col width="18" customWidth="1" min="5" max="5"/>
    <col width="10" customWidth="1" min="6" max="6"/>
    <col width="10" customWidth="1" min="7" max="7"/>
    <col width="15" customWidth="1" min="8" max="8"/>
    <col width="15" customWidth="1" min="9" max="9"/>
    <col width="22" customWidth="1" min="10" max="10"/>
    <col width="13" customWidth="1" min="11" max="11"/>
    <col width="11" customWidth="1" min="12" max="12"/>
    <col width="36" customWidth="1" min="13" max="13"/>
  </cols>
  <sheetData>
    <row r="1" ht="32" customHeight="1">
      <c r="A1" s="7" t="inlineStr">
        <is>
          <t>No</t>
        </is>
      </c>
      <c r="B1" s="7" t="inlineStr">
        <is>
          <t>英単語</t>
        </is>
      </c>
      <c r="C1" s="7" t="inlineStr">
        <is>
          <t>品詞</t>
        </is>
      </c>
      <c r="D1" s="7" t="inlineStr">
        <is>
          <t>日本語訳</t>
        </is>
      </c>
      <c r="E1" s="7" t="inlineStr">
        <is>
          <t>音節</t>
        </is>
      </c>
      <c r="F1" s="7" t="inlineStr">
        <is>
          <t>第一アクセント音節</t>
        </is>
      </c>
      <c r="G1" s="7" t="inlineStr">
        <is>
          <t>アクセント母音の綴り</t>
        </is>
      </c>
      <c r="H1" s="7" t="inlineStr">
        <is>
          <t>Color Vowel</t>
        </is>
      </c>
      <c r="I1" s="7" t="inlineStr">
        <is>
          <t>cv_id</t>
        </is>
      </c>
      <c r="J1" s="7" t="inlineStr">
        <is>
          <t>発音記号</t>
        </is>
      </c>
      <c r="K1" s="7" t="inlineStr">
        <is>
          <t>原形</t>
        </is>
      </c>
      <c r="L1" s="7" t="inlineStr">
        <is>
          <t>要確認ID</t>
        </is>
      </c>
      <c r="M1" s="7" t="inlineStr">
        <is>
          <t>指摘・コメント</t>
        </is>
      </c>
    </row>
    <row r="2">
      <c r="A2" s="8" t="n">
        <v>1</v>
      </c>
      <c r="B2" s="9" t="inlineStr">
        <is>
          <t>accelerate</t>
        </is>
      </c>
      <c r="C2" s="8" t="inlineStr">
        <is>
          <t>動詞</t>
        </is>
      </c>
      <c r="D2" s="3" t="inlineStr">
        <is>
          <t>加速させる、早める</t>
        </is>
      </c>
      <c r="E2" s="3" t="inlineStr">
        <is>
          <t>ac-cel-er-ate</t>
        </is>
      </c>
      <c r="F2" s="8" t="n">
        <v>2</v>
      </c>
      <c r="G2" s="8" t="inlineStr">
        <is>
          <t>e</t>
        </is>
      </c>
      <c r="H2" s="3" t="inlineStr">
        <is>
          <t>RED PEPPER</t>
        </is>
      </c>
      <c r="I2" s="3" t="inlineStr">
        <is>
          <t>red_pepper</t>
        </is>
      </c>
      <c r="J2" s="3" t="inlineStr">
        <is>
          <t>/əkˈsɛləreɪt/</t>
        </is>
      </c>
      <c r="K2" s="3" t="n"/>
      <c r="L2" s="8" t="n"/>
      <c r="M2" s="4" t="n"/>
    </row>
    <row r="3">
      <c r="A3" s="8" t="n">
        <v>2</v>
      </c>
      <c r="B3" s="9" t="inlineStr">
        <is>
          <t>accelerated</t>
        </is>
      </c>
      <c r="C3" s="8" t="inlineStr">
        <is>
          <t>動詞</t>
        </is>
      </c>
      <c r="D3" s="3" t="inlineStr">
        <is>
          <t>加速させた、早めた</t>
        </is>
      </c>
      <c r="E3" s="3" t="inlineStr">
        <is>
          <t>ac-cel-er-at-ed</t>
        </is>
      </c>
      <c r="F3" s="8" t="n">
        <v>2</v>
      </c>
      <c r="G3" s="8" t="inlineStr">
        <is>
          <t>e</t>
        </is>
      </c>
      <c r="H3" s="3" t="inlineStr">
        <is>
          <t>RED PEPPER</t>
        </is>
      </c>
      <c r="I3" s="3" t="inlineStr">
        <is>
          <t>red_pepper</t>
        </is>
      </c>
      <c r="J3" s="3" t="inlineStr">
        <is>
          <t>/əkˈsɛləreɪtɪd/</t>
        </is>
      </c>
      <c r="K3" s="3" t="inlineStr">
        <is>
          <t>accelerate</t>
        </is>
      </c>
      <c r="L3" s="8" t="n"/>
      <c r="M3" s="4" t="n"/>
    </row>
    <row r="4">
      <c r="A4" s="8" t="n">
        <v>3</v>
      </c>
      <c r="B4" s="9" t="inlineStr">
        <is>
          <t>CEO</t>
        </is>
      </c>
      <c r="C4" s="8" t="inlineStr">
        <is>
          <t>名詞</t>
        </is>
      </c>
      <c r="D4" s="3" t="inlineStr">
        <is>
          <t>最高経営責任者（Chief Executive Officer）</t>
        </is>
      </c>
      <c r="E4" s="3" t="inlineStr">
        <is>
          <t>C-E-O</t>
        </is>
      </c>
      <c r="F4" s="8" t="n">
        <v>3</v>
      </c>
      <c r="G4" s="8" t="inlineStr">
        <is>
          <t>O</t>
        </is>
      </c>
      <c r="H4" s="3" t="inlineStr">
        <is>
          <t>ROSE BOAT</t>
        </is>
      </c>
      <c r="I4" s="3" t="inlineStr">
        <is>
          <t>rose_boat</t>
        </is>
      </c>
      <c r="J4" s="3" t="inlineStr">
        <is>
          <t>/ˌsiːiːˈoʊ/</t>
        </is>
      </c>
      <c r="K4" s="3" t="n"/>
      <c r="L4" s="8" t="n"/>
      <c r="M4" s="4" t="n"/>
    </row>
    <row r="5">
      <c r="A5" s="8" t="n">
        <v>4</v>
      </c>
      <c r="B5" s="9" t="inlineStr">
        <is>
          <t>clear</t>
        </is>
      </c>
      <c r="C5" s="8" t="inlineStr">
        <is>
          <t>形容詞</t>
        </is>
      </c>
      <c r="D5" s="3" t="inlineStr">
        <is>
          <t>明確な、はっきりした</t>
        </is>
      </c>
      <c r="E5" s="3" t="inlineStr">
        <is>
          <t>clear</t>
        </is>
      </c>
      <c r="F5" s="8" t="n">
        <v>1</v>
      </c>
      <c r="G5" s="8" t="inlineStr">
        <is>
          <t>ea</t>
        </is>
      </c>
      <c r="H5" s="3" t="inlineStr">
        <is>
          <t>GREEN TEA</t>
        </is>
      </c>
      <c r="I5" s="3" t="inlineStr">
        <is>
          <t>green_tea</t>
        </is>
      </c>
      <c r="J5" s="3" t="inlineStr">
        <is>
          <t>/klɪr/</t>
        </is>
      </c>
      <c r="K5" s="3" t="n"/>
      <c r="L5" s="8" t="inlineStr">
        <is>
          <t>CVR-0004</t>
        </is>
      </c>
      <c r="M5" s="4" t="n"/>
    </row>
    <row r="6">
      <c r="A6" s="8" t="n">
        <v>5</v>
      </c>
      <c r="B6" s="9" t="inlineStr">
        <is>
          <t>cost</t>
        </is>
      </c>
      <c r="C6" s="8" t="inlineStr">
        <is>
          <t>名詞</t>
        </is>
      </c>
      <c r="D6" s="3" t="inlineStr">
        <is>
          <t>費用、コスト</t>
        </is>
      </c>
      <c r="E6" s="3" t="inlineStr">
        <is>
          <t>cost</t>
        </is>
      </c>
      <c r="F6" s="8" t="n">
        <v>1</v>
      </c>
      <c r="G6" s="8" t="inlineStr">
        <is>
          <t>o</t>
        </is>
      </c>
      <c r="H6" s="3" t="inlineStr">
        <is>
          <t>AUBURN DOG</t>
        </is>
      </c>
      <c r="I6" s="3" t="inlineStr">
        <is>
          <t>auburn_dog</t>
        </is>
      </c>
      <c r="J6" s="3" t="inlineStr">
        <is>
          <t>/kɔːst/</t>
        </is>
      </c>
      <c r="K6" s="3" t="n"/>
      <c r="L6" s="8" t="inlineStr">
        <is>
          <t>CVR-0007</t>
        </is>
      </c>
      <c r="M6" s="4" t="n"/>
    </row>
    <row r="7">
      <c r="A7" s="8" t="n">
        <v>6</v>
      </c>
      <c r="B7" s="9" t="inlineStr">
        <is>
          <t>customer</t>
        </is>
      </c>
      <c r="C7" s="8" t="inlineStr">
        <is>
          <t>名詞</t>
        </is>
      </c>
      <c r="D7" s="3" t="inlineStr">
        <is>
          <t>顧客、お客様</t>
        </is>
      </c>
      <c r="E7" s="3" t="inlineStr">
        <is>
          <t>cus-tom-er</t>
        </is>
      </c>
      <c r="F7" s="8" t="n">
        <v>1</v>
      </c>
      <c r="G7" s="8" t="inlineStr">
        <is>
          <t>u</t>
        </is>
      </c>
      <c r="H7" s="3" t="inlineStr">
        <is>
          <t>MUSTARD</t>
        </is>
      </c>
      <c r="I7" s="3" t="inlineStr">
        <is>
          <t>cup_of_mustard</t>
        </is>
      </c>
      <c r="J7" s="3" t="inlineStr">
        <is>
          <t>/ˈkʌstəmər/</t>
        </is>
      </c>
      <c r="K7" s="3" t="n"/>
      <c r="L7" s="8" t="n"/>
      <c r="M7" s="4" t="n"/>
    </row>
    <row r="8">
      <c r="A8" s="8" t="n">
        <v>7</v>
      </c>
      <c r="B8" s="9" t="inlineStr">
        <is>
          <t>data</t>
        </is>
      </c>
      <c r="C8" s="8" t="inlineStr">
        <is>
          <t>名詞</t>
        </is>
      </c>
      <c r="D8" s="3" t="inlineStr">
        <is>
          <t>データ</t>
        </is>
      </c>
      <c r="E8" s="3" t="inlineStr">
        <is>
          <t>da-ta</t>
        </is>
      </c>
      <c r="F8" s="8" t="n">
        <v>1</v>
      </c>
      <c r="G8" s="8" t="inlineStr">
        <is>
          <t>a</t>
        </is>
      </c>
      <c r="H8" s="3" t="inlineStr">
        <is>
          <t>GRAY DAY</t>
        </is>
      </c>
      <c r="I8" s="3" t="inlineStr">
        <is>
          <t>gray_day</t>
        </is>
      </c>
      <c r="J8" s="3" t="inlineStr">
        <is>
          <t>/ˈdeɪtə/</t>
        </is>
      </c>
      <c r="K8" s="3" t="n"/>
      <c r="L8" s="8" t="inlineStr">
        <is>
          <t>CVR-0009</t>
        </is>
      </c>
      <c r="M8" s="4" t="n"/>
    </row>
    <row r="9">
      <c r="A9" s="8" t="n">
        <v>8</v>
      </c>
      <c r="B9" s="9" t="inlineStr">
        <is>
          <t>for</t>
        </is>
      </c>
      <c r="C9" s="8" t="inlineStr">
        <is>
          <t>前置詞</t>
        </is>
      </c>
      <c r="D9" s="3" t="inlineStr">
        <is>
          <t>〜を、〜のために、〜に対して</t>
        </is>
      </c>
      <c r="E9" s="3" t="inlineStr">
        <is>
          <t>for</t>
        </is>
      </c>
      <c r="F9" s="8" t="n">
        <v>1</v>
      </c>
      <c r="G9" s="8" t="inlineStr">
        <is>
          <t>o</t>
        </is>
      </c>
      <c r="H9" s="3" t="inlineStr">
        <is>
          <t>ORANGE DOOR</t>
        </is>
      </c>
      <c r="I9" s="3" t="inlineStr">
        <is>
          <t>orange_door</t>
        </is>
      </c>
      <c r="J9" s="3" t="inlineStr">
        <is>
          <t>/fɔːr/</t>
        </is>
      </c>
      <c r="K9" s="3" t="n"/>
      <c r="L9" s="8" t="n"/>
      <c r="M9" s="4" t="n"/>
    </row>
    <row r="10">
      <c r="A10" s="8" t="n">
        <v>9</v>
      </c>
      <c r="B10" s="9" t="inlineStr">
        <is>
          <t>launch</t>
        </is>
      </c>
      <c r="C10" s="8" t="inlineStr">
        <is>
          <t>動詞</t>
        </is>
      </c>
      <c r="D10" s="3" t="inlineStr">
        <is>
          <t>発売する、立ち上げる</t>
        </is>
      </c>
      <c r="E10" s="3" t="inlineStr">
        <is>
          <t>launch</t>
        </is>
      </c>
      <c r="F10" s="8" t="n">
        <v>1</v>
      </c>
      <c r="G10" s="8" t="inlineStr">
        <is>
          <t>au</t>
        </is>
      </c>
      <c r="H10" s="3" t="inlineStr">
        <is>
          <t>AUBURN DOG</t>
        </is>
      </c>
      <c r="I10" s="3" t="inlineStr">
        <is>
          <t>auburn_dog</t>
        </is>
      </c>
      <c r="J10" s="3" t="inlineStr">
        <is>
          <t>/lɔːntʃ/</t>
        </is>
      </c>
      <c r="K10" s="3" t="n"/>
      <c r="L10" s="8" t="inlineStr">
        <is>
          <t>CVR-0020</t>
        </is>
      </c>
      <c r="M10" s="4" t="n"/>
    </row>
    <row r="11">
      <c r="A11" s="8" t="n">
        <v>10</v>
      </c>
      <c r="B11" s="9" t="inlineStr">
        <is>
          <t>manager</t>
        </is>
      </c>
      <c r="C11" s="8" t="inlineStr">
        <is>
          <t>名詞</t>
        </is>
      </c>
      <c r="D11" s="3" t="inlineStr">
        <is>
          <t>マネージャー、管理者</t>
        </is>
      </c>
      <c r="E11" s="3" t="inlineStr">
        <is>
          <t>man-ag-er</t>
        </is>
      </c>
      <c r="F11" s="8" t="n">
        <v>1</v>
      </c>
      <c r="G11" s="8" t="inlineStr">
        <is>
          <t>a</t>
        </is>
      </c>
      <c r="H11" s="3" t="inlineStr">
        <is>
          <t>BLACK CAT</t>
        </is>
      </c>
      <c r="I11" s="3" t="inlineStr">
        <is>
          <t>black_cat</t>
        </is>
      </c>
      <c r="J11" s="3" t="inlineStr">
        <is>
          <t>/ˈmænɪdʒər/</t>
        </is>
      </c>
      <c r="K11" s="3" t="n"/>
      <c r="L11" s="8" t="n"/>
      <c r="M11" s="4" t="n"/>
    </row>
    <row r="12">
      <c r="A12" s="8" t="n">
        <v>11</v>
      </c>
      <c r="B12" s="9" t="inlineStr">
        <is>
          <t>office</t>
        </is>
      </c>
      <c r="C12" s="8" t="inlineStr">
        <is>
          <t>名詞</t>
        </is>
      </c>
      <c r="D12" s="3" t="inlineStr">
        <is>
          <t>事務所、オフィス（head office: 本社）</t>
        </is>
      </c>
      <c r="E12" s="3" t="inlineStr">
        <is>
          <t>of-fice</t>
        </is>
      </c>
      <c r="F12" s="8" t="n">
        <v>1</v>
      </c>
      <c r="G12" s="8" t="inlineStr">
        <is>
          <t>o</t>
        </is>
      </c>
      <c r="H12" s="3" t="inlineStr">
        <is>
          <t>AUBURN DOG</t>
        </is>
      </c>
      <c r="I12" s="3" t="inlineStr">
        <is>
          <t>auburn_dog</t>
        </is>
      </c>
      <c r="J12" s="3" t="inlineStr">
        <is>
          <t>/ˈɔːfɪs/</t>
        </is>
      </c>
      <c r="K12" s="3" t="n"/>
      <c r="L12" s="8" t="inlineStr">
        <is>
          <t>CVR-0029</t>
        </is>
      </c>
      <c r="M12" s="4" t="n"/>
    </row>
    <row r="13">
      <c r="A13" s="8" t="n">
        <v>12</v>
      </c>
      <c r="B13" s="9" t="inlineStr">
        <is>
          <t>read</t>
        </is>
      </c>
      <c r="C13" s="8" t="inlineStr">
        <is>
          <t>動詞</t>
        </is>
      </c>
      <c r="D13" s="3" t="inlineStr">
        <is>
          <t>読む</t>
        </is>
      </c>
      <c r="E13" s="3" t="inlineStr">
        <is>
          <t>read</t>
        </is>
      </c>
      <c r="F13" s="8" t="n">
        <v>1</v>
      </c>
      <c r="G13" s="8" t="inlineStr">
        <is>
          <t>ea</t>
        </is>
      </c>
      <c r="H13" s="3" t="inlineStr">
        <is>
          <t>GREEN TEA</t>
        </is>
      </c>
      <c r="I13" s="3" t="inlineStr">
        <is>
          <t>green_tea</t>
        </is>
      </c>
      <c r="J13" s="3" t="inlineStr">
        <is>
          <t>/riːd/</t>
        </is>
      </c>
      <c r="K13" s="3" t="n"/>
      <c r="L13" s="8" t="inlineStr">
        <is>
          <t>CVR-0032</t>
        </is>
      </c>
      <c r="M13" s="4" t="n"/>
    </row>
    <row r="14">
      <c r="A14" s="8" t="n">
        <v>13</v>
      </c>
      <c r="B14" s="9" t="inlineStr">
        <is>
          <t>report</t>
        </is>
      </c>
      <c r="C14" s="8" t="inlineStr">
        <is>
          <t>名詞</t>
        </is>
      </c>
      <c r="D14" s="3" t="inlineStr">
        <is>
          <t>報告書、レポート</t>
        </is>
      </c>
      <c r="E14" s="3" t="inlineStr">
        <is>
          <t>re-port</t>
        </is>
      </c>
      <c r="F14" s="8" t="n">
        <v>2</v>
      </c>
      <c r="G14" s="8" t="inlineStr">
        <is>
          <t>o</t>
        </is>
      </c>
      <c r="H14" s="3" t="inlineStr">
        <is>
          <t>ORANGE DOOR</t>
        </is>
      </c>
      <c r="I14" s="3" t="inlineStr">
        <is>
          <t>orange_door</t>
        </is>
      </c>
      <c r="J14" s="3" t="inlineStr">
        <is>
          <t>/rɪˈpɔːrt/</t>
        </is>
      </c>
      <c r="K14" s="3" t="n"/>
      <c r="L14" s="8" t="n"/>
      <c r="M14" s="4" t="n"/>
    </row>
    <row r="15">
      <c r="A15" s="8" t="n">
        <v>14</v>
      </c>
      <c r="B15" s="9" t="inlineStr">
        <is>
          <t>report</t>
        </is>
      </c>
      <c r="C15" s="8" t="inlineStr">
        <is>
          <t>動詞</t>
        </is>
      </c>
      <c r="D15" s="3" t="inlineStr">
        <is>
          <t>報告する、計上する</t>
        </is>
      </c>
      <c r="E15" s="3" t="inlineStr">
        <is>
          <t>re-port</t>
        </is>
      </c>
      <c r="F15" s="8" t="n">
        <v>2</v>
      </c>
      <c r="G15" s="8" t="inlineStr">
        <is>
          <t>o</t>
        </is>
      </c>
      <c r="H15" s="3" t="inlineStr">
        <is>
          <t>ORANGE DOOR</t>
        </is>
      </c>
      <c r="I15" s="3" t="inlineStr">
        <is>
          <t>orange_door</t>
        </is>
      </c>
      <c r="J15" s="3" t="inlineStr">
        <is>
          <t>/rɪˈpɔːrt/</t>
        </is>
      </c>
      <c r="K15" s="3" t="n"/>
      <c r="L15" s="8" t="n"/>
      <c r="M15" s="4" t="n"/>
    </row>
    <row r="16">
      <c r="A16" s="8" t="n">
        <v>15</v>
      </c>
      <c r="B16" s="9" t="inlineStr">
        <is>
          <t>sales</t>
        </is>
      </c>
      <c r="C16" s="8" t="inlineStr">
        <is>
          <t>名詞</t>
        </is>
      </c>
      <c r="D16" s="3" t="inlineStr">
        <is>
          <t>売上、販売</t>
        </is>
      </c>
      <c r="E16" s="3" t="inlineStr">
        <is>
          <t>sales</t>
        </is>
      </c>
      <c r="F16" s="8" t="n">
        <v>1</v>
      </c>
      <c r="G16" s="8" t="inlineStr">
        <is>
          <t>a</t>
        </is>
      </c>
      <c r="H16" s="3" t="inlineStr">
        <is>
          <t>GRAY DAY</t>
        </is>
      </c>
      <c r="I16" s="3" t="inlineStr">
        <is>
          <t>gray_day</t>
        </is>
      </c>
      <c r="J16" s="3" t="inlineStr">
        <is>
          <t>/seɪlz/</t>
        </is>
      </c>
      <c r="K16" s="3" t="n"/>
      <c r="L16" s="8" t="n"/>
      <c r="M16" s="4" t="n"/>
    </row>
    <row r="17">
      <c r="A17" s="8" t="n">
        <v>16</v>
      </c>
      <c r="B17" s="9" t="inlineStr">
        <is>
          <t>secure</t>
        </is>
      </c>
      <c r="C17" s="8" t="inlineStr">
        <is>
          <t>動詞</t>
        </is>
      </c>
      <c r="D17" s="3" t="inlineStr">
        <is>
          <t>確保する</t>
        </is>
      </c>
      <c r="E17" s="3" t="inlineStr">
        <is>
          <t>se-cure</t>
        </is>
      </c>
      <c r="F17" s="8" t="n">
        <v>2</v>
      </c>
      <c r="G17" s="8" t="inlineStr">
        <is>
          <t>u</t>
        </is>
      </c>
      <c r="H17" s="3" t="inlineStr">
        <is>
          <t>WOODEN HOOK</t>
        </is>
      </c>
      <c r="I17" s="3" t="inlineStr">
        <is>
          <t>wooden_hook</t>
        </is>
      </c>
      <c r="J17" s="3" t="inlineStr">
        <is>
          <t>/sɪˈkjʊr/</t>
        </is>
      </c>
      <c r="K17" s="3" t="n"/>
      <c r="L17" s="8" t="inlineStr">
        <is>
          <t>CVR-0035</t>
        </is>
      </c>
      <c r="M17" s="4" t="n"/>
    </row>
    <row r="18">
      <c r="A18" s="8" t="n">
        <v>17</v>
      </c>
      <c r="B18" s="9" t="inlineStr">
        <is>
          <t>share</t>
        </is>
      </c>
      <c r="C18" s="8" t="inlineStr">
        <is>
          <t>名詞</t>
        </is>
      </c>
      <c r="D18" s="3" t="inlineStr">
        <is>
          <t>シェア、占有率（market share: 市場シェア）</t>
        </is>
      </c>
      <c r="E18" s="3" t="inlineStr">
        <is>
          <t>share</t>
        </is>
      </c>
      <c r="F18" s="8" t="n">
        <v>1</v>
      </c>
      <c r="G18" s="8" t="inlineStr">
        <is>
          <t>a</t>
        </is>
      </c>
      <c r="H18" s="3" t="inlineStr">
        <is>
          <t>RED PEPPER</t>
        </is>
      </c>
      <c r="I18" s="3" t="inlineStr">
        <is>
          <t>red_pepper</t>
        </is>
      </c>
      <c r="J18" s="3" t="inlineStr">
        <is>
          <t>/ʃɛr/</t>
        </is>
      </c>
      <c r="K18" s="3" t="n"/>
      <c r="L18" s="8" t="inlineStr">
        <is>
          <t>CVR-0037</t>
        </is>
      </c>
      <c r="M18" s="4" t="n"/>
    </row>
    <row r="19">
      <c r="A19" s="8" t="n">
        <v>18</v>
      </c>
      <c r="B19" s="9" t="inlineStr">
        <is>
          <t>the</t>
        </is>
      </c>
      <c r="C19" s="8" t="inlineStr">
        <is>
          <t>冠詞</t>
        </is>
      </c>
      <c r="D19" s="3" t="inlineStr">
        <is>
          <t>その（定冠詞）</t>
        </is>
      </c>
      <c r="E19" s="3" t="inlineStr">
        <is>
          <t>the</t>
        </is>
      </c>
      <c r="F19" s="8" t="n">
        <v>1</v>
      </c>
      <c r="G19" s="8" t="inlineStr">
        <is>
          <t>e</t>
        </is>
      </c>
      <c r="H19" s="3" t="inlineStr">
        <is>
          <t>GREEN TEA</t>
        </is>
      </c>
      <c r="I19" s="3" t="inlineStr">
        <is>
          <t>green_tea</t>
        </is>
      </c>
      <c r="J19" s="3" t="inlineStr">
        <is>
          <t>/ðiː/</t>
        </is>
      </c>
      <c r="K19" s="3" t="n"/>
      <c r="L19" s="8" t="n"/>
      <c r="M19" s="4" t="n"/>
    </row>
    <row r="20">
      <c r="A20" s="8" t="n">
        <v>19</v>
      </c>
      <c r="B20" s="9" t="inlineStr">
        <is>
          <t>there</t>
        </is>
      </c>
      <c r="C20" s="8" t="inlineStr">
        <is>
          <t>副詞</t>
        </is>
      </c>
      <c r="D20" s="3" t="inlineStr">
        <is>
          <t>（there are: 〜がある）</t>
        </is>
      </c>
      <c r="E20" s="3" t="inlineStr">
        <is>
          <t>there</t>
        </is>
      </c>
      <c r="F20" s="8" t="n">
        <v>1</v>
      </c>
      <c r="G20" s="8" t="inlineStr">
        <is>
          <t>e</t>
        </is>
      </c>
      <c r="H20" s="3" t="inlineStr">
        <is>
          <t>RED PEPPER</t>
        </is>
      </c>
      <c r="I20" s="3" t="inlineStr">
        <is>
          <t>red_pepper</t>
        </is>
      </c>
      <c r="J20" s="3" t="inlineStr">
        <is>
          <t>/ðɛr/</t>
        </is>
      </c>
      <c r="K20" s="3" t="n"/>
      <c r="L20" s="8" t="inlineStr">
        <is>
          <t>CVR-0043</t>
        </is>
      </c>
      <c r="M20" s="4" t="n"/>
    </row>
    <row r="21">
      <c r="A21" s="8" t="n">
        <v>20</v>
      </c>
      <c r="B21" s="9" t="inlineStr">
        <is>
          <t>want</t>
        </is>
      </c>
      <c r="C21" s="8" t="inlineStr">
        <is>
          <t>動詞</t>
        </is>
      </c>
      <c r="D21" s="3" t="inlineStr">
        <is>
          <t>望む、〜したい（want to: 〜したい）</t>
        </is>
      </c>
      <c r="E21" s="3" t="inlineStr">
        <is>
          <t>want</t>
        </is>
      </c>
      <c r="F21" s="8" t="n">
        <v>1</v>
      </c>
      <c r="G21" s="8" t="inlineStr">
        <is>
          <t>a</t>
        </is>
      </c>
      <c r="H21" s="3" t="inlineStr">
        <is>
          <t>OLIVE SOCK</t>
        </is>
      </c>
      <c r="I21" s="3" t="inlineStr">
        <is>
          <t>olive_sock</t>
        </is>
      </c>
      <c r="J21" s="3" t="inlineStr">
        <is>
          <t>/wɑːnt/</t>
        </is>
      </c>
      <c r="K21" s="3" t="n"/>
      <c r="L21" s="8" t="inlineStr">
        <is>
          <t>CVR-0045</t>
        </is>
      </c>
      <c r="M21" s="4" t="n"/>
    </row>
    <row r="22">
      <c r="A22" s="8" t="n">
        <v>21</v>
      </c>
      <c r="B22" s="9" t="inlineStr">
        <is>
          <t>year</t>
        </is>
      </c>
      <c r="C22" s="8" t="inlineStr">
        <is>
          <t>名詞</t>
        </is>
      </c>
      <c r="D22" s="3" t="inlineStr">
        <is>
          <t>年（this year: 今年）</t>
        </is>
      </c>
      <c r="E22" s="3" t="inlineStr">
        <is>
          <t>year</t>
        </is>
      </c>
      <c r="F22" s="8" t="n">
        <v>1</v>
      </c>
      <c r="G22" s="8" t="inlineStr">
        <is>
          <t>ea</t>
        </is>
      </c>
      <c r="H22" s="3" t="inlineStr">
        <is>
          <t>GREEN TEA</t>
        </is>
      </c>
      <c r="I22" s="3" t="inlineStr">
        <is>
          <t>green_tea</t>
        </is>
      </c>
      <c r="J22" s="3" t="inlineStr">
        <is>
          <t>/jɪr/</t>
        </is>
      </c>
      <c r="K22" s="3" t="n"/>
      <c r="L22" s="8" t="inlineStr">
        <is>
          <t>CVR-0047</t>
        </is>
      </c>
      <c r="M22" s="4" t="n"/>
    </row>
  </sheetData>
  <autoFilter ref="A1:M22"/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30" customWidth="1" min="4" max="4"/>
    <col width="12" customWidth="1" min="5" max="5"/>
  </cols>
  <sheetData>
    <row r="1">
      <c r="A1" s="7" t="inlineStr">
        <is>
          <t>cv_id</t>
        </is>
      </c>
      <c r="B1" s="7" t="inlineStr">
        <is>
          <t>Color Vowel</t>
        </is>
      </c>
      <c r="C1" s="7" t="inlineStr">
        <is>
          <t>発音記号（IPA）</t>
        </is>
      </c>
      <c r="D1" s="7" t="inlineStr">
        <is>
          <t>例</t>
        </is>
      </c>
      <c r="E1" s="7" t="inlineStr">
        <is>
          <t>今回のデータの件数</t>
        </is>
      </c>
    </row>
    <row r="2">
      <c r="A2" s="3" t="inlineStr">
        <is>
          <t>green_tea</t>
        </is>
      </c>
      <c r="B2" s="9" t="inlineStr">
        <is>
          <t>GREEN TEA</t>
        </is>
      </c>
      <c r="C2" s="3" t="inlineStr">
        <is>
          <t>/iː/ /i/</t>
        </is>
      </c>
      <c r="D2" s="3" t="inlineStr">
        <is>
          <t>meet, see, team</t>
        </is>
      </c>
      <c r="E2" s="8">
        <f>COUNTIF('③登録データ一覧'!$I:$I,A2)</f>
        <v/>
      </c>
    </row>
    <row r="3">
      <c r="A3" s="3" t="inlineStr">
        <is>
          <t>silver_pin</t>
        </is>
      </c>
      <c r="B3" s="9" t="inlineStr">
        <is>
          <t>SILVER PIN</t>
        </is>
      </c>
      <c r="C3" s="3" t="inlineStr">
        <is>
          <t>/ɪ/</t>
        </is>
      </c>
      <c r="D3" s="3" t="inlineStr">
        <is>
          <t>sit, pink, build</t>
        </is>
      </c>
      <c r="E3" s="8">
        <f>COUNTIF('③登録データ一覧'!$I:$I,A3)</f>
        <v/>
      </c>
    </row>
    <row r="4">
      <c r="A4" s="3" t="inlineStr">
        <is>
          <t>gray_day</t>
        </is>
      </c>
      <c r="B4" s="9" t="inlineStr">
        <is>
          <t>GRAY DAY</t>
        </is>
      </c>
      <c r="C4" s="3" t="inlineStr">
        <is>
          <t>/eɪ/</t>
        </is>
      </c>
      <c r="D4" s="3" t="inlineStr">
        <is>
          <t>day, name, tailor</t>
        </is>
      </c>
      <c r="E4" s="8">
        <f>COUNTIF('③登録データ一覧'!$I:$I,A4)</f>
        <v/>
      </c>
    </row>
    <row r="5">
      <c r="A5" s="3" t="inlineStr">
        <is>
          <t>red_pepper</t>
        </is>
      </c>
      <c r="B5" s="9" t="inlineStr">
        <is>
          <t>RED PEPPER</t>
        </is>
      </c>
      <c r="C5" s="3" t="inlineStr">
        <is>
          <t>/ɛ/ /e/</t>
        </is>
      </c>
      <c r="D5" s="3" t="inlineStr">
        <is>
          <t>bed, send, professional</t>
        </is>
      </c>
      <c r="E5" s="8">
        <f>COUNTIF('③登録データ一覧'!$I:$I,A5)</f>
        <v/>
      </c>
    </row>
    <row r="6">
      <c r="A6" s="3" t="inlineStr">
        <is>
          <t>black_cat</t>
        </is>
      </c>
      <c r="B6" s="9" t="inlineStr">
        <is>
          <t>BLACK CAT</t>
        </is>
      </c>
      <c r="C6" s="3" t="inlineStr">
        <is>
          <t>/æ/</t>
        </is>
      </c>
      <c r="D6" s="3" t="inlineStr">
        <is>
          <t>cat, happy, family</t>
        </is>
      </c>
      <c r="E6" s="8">
        <f>COUNTIF('③登録データ一覧'!$I:$I,A6)</f>
        <v/>
      </c>
    </row>
    <row r="7">
      <c r="A7" s="3" t="inlineStr">
        <is>
          <t>purple_shirt</t>
        </is>
      </c>
      <c r="B7" s="9" t="inlineStr">
        <is>
          <t>PURPLE SHIRT</t>
        </is>
      </c>
      <c r="C7" s="3" t="inlineStr">
        <is>
          <t>/ɜːr/ /ɜr/ /ɝ/</t>
        </is>
      </c>
      <c r="D7" s="3" t="inlineStr">
        <is>
          <t>bird, her, turn</t>
        </is>
      </c>
      <c r="E7" s="8">
        <f>COUNTIF('③登録データ一覧'!$I:$I,A7)</f>
        <v/>
      </c>
    </row>
    <row r="8">
      <c r="A8" s="3" t="inlineStr">
        <is>
          <t>cup_of_mustard</t>
        </is>
      </c>
      <c r="B8" s="9" t="inlineStr">
        <is>
          <t>MUSTARD</t>
        </is>
      </c>
      <c r="C8" s="3" t="inlineStr">
        <is>
          <t>/ʌ/ /ə/（強勢のあるもの）</t>
        </is>
      </c>
      <c r="D8" s="3" t="inlineStr">
        <is>
          <t>up, mother, love</t>
        </is>
      </c>
      <c r="E8" s="8">
        <f>COUNTIF('③登録データ一覧'!$I:$I,A8)</f>
        <v/>
      </c>
    </row>
    <row r="9">
      <c r="A9" s="3" t="inlineStr">
        <is>
          <t>olive_sock</t>
        </is>
      </c>
      <c r="B9" s="9" t="inlineStr">
        <is>
          <t>OLIVE SOCK</t>
        </is>
      </c>
      <c r="C9" s="3" t="inlineStr">
        <is>
          <t>/ɑː/ /ɑ/ /ɒ/ /ɑr/</t>
        </is>
      </c>
      <c r="D9" s="3" t="inlineStr">
        <is>
          <t>job, stop, father, car</t>
        </is>
      </c>
      <c r="E9" s="8">
        <f>COUNTIF('③登録データ一覧'!$I:$I,A9)</f>
        <v/>
      </c>
    </row>
    <row r="10">
      <c r="A10" s="3" t="inlineStr">
        <is>
          <t>auburn_dog</t>
        </is>
      </c>
      <c r="B10" s="9" t="inlineStr">
        <is>
          <t>AUBURN DOG</t>
        </is>
      </c>
      <c r="C10" s="3" t="inlineStr">
        <is>
          <t>/ɔː/ /ɔ/</t>
        </is>
      </c>
      <c r="D10" s="3" t="inlineStr">
        <is>
          <t>dog, law, water</t>
        </is>
      </c>
      <c r="E10" s="8">
        <f>COUNTIF('③登録データ一覧'!$I:$I,A10)</f>
        <v/>
      </c>
    </row>
    <row r="11">
      <c r="A11" s="3" t="inlineStr">
        <is>
          <t>turquoise_toy</t>
        </is>
      </c>
      <c r="B11" s="9" t="inlineStr">
        <is>
          <t>TURQUOISE TOY</t>
        </is>
      </c>
      <c r="C11" s="3" t="inlineStr">
        <is>
          <t>/ɔɪ/</t>
        </is>
      </c>
      <c r="D11" s="3" t="inlineStr">
        <is>
          <t>boy, oil, choice</t>
        </is>
      </c>
      <c r="E11" s="8">
        <f>COUNTIF('③登録データ一覧'!$I:$I,A11)</f>
        <v/>
      </c>
    </row>
    <row r="12">
      <c r="A12" s="3" t="inlineStr">
        <is>
          <t>orange_door</t>
        </is>
      </c>
      <c r="B12" s="9" t="inlineStr">
        <is>
          <t>ORANGE DOOR</t>
        </is>
      </c>
      <c r="C12" s="3" t="inlineStr">
        <is>
          <t>/ɔːr/ /ɔr/</t>
        </is>
      </c>
      <c r="D12" s="3" t="inlineStr">
        <is>
          <t>door, for, born, course</t>
        </is>
      </c>
      <c r="E12" s="8">
        <f>COUNTIF('③登録データ一覧'!$I:$I,A12)</f>
        <v/>
      </c>
    </row>
    <row r="13">
      <c r="A13" s="3" t="inlineStr">
        <is>
          <t>rose_boat</t>
        </is>
      </c>
      <c r="B13" s="9" t="inlineStr">
        <is>
          <t>ROSE BOAT</t>
        </is>
      </c>
      <c r="C13" s="3" t="inlineStr">
        <is>
          <t>/oʊ/ /əʊ/</t>
        </is>
      </c>
      <c r="D13" s="3" t="inlineStr">
        <is>
          <t>no, home, road</t>
        </is>
      </c>
      <c r="E13" s="8">
        <f>COUNTIF('③登録データ一覧'!$I:$I,A13)</f>
        <v/>
      </c>
    </row>
    <row r="14">
      <c r="A14" s="3" t="inlineStr">
        <is>
          <t>wooden_hook</t>
        </is>
      </c>
      <c r="B14" s="9" t="inlineStr">
        <is>
          <t>WOODEN HOOK</t>
        </is>
      </c>
      <c r="C14" s="3" t="inlineStr">
        <is>
          <t>/ʊ/</t>
        </is>
      </c>
      <c r="D14" s="3" t="inlineStr">
        <is>
          <t>good, look, should</t>
        </is>
      </c>
      <c r="E14" s="8">
        <f>COUNTIF('③登録データ一覧'!$I:$I,A14)</f>
        <v/>
      </c>
    </row>
    <row r="15">
      <c r="A15" s="3" t="inlineStr">
        <is>
          <t>blue_moon</t>
        </is>
      </c>
      <c r="B15" s="9" t="inlineStr">
        <is>
          <t>BLUE MOON</t>
        </is>
      </c>
      <c r="C15" s="3" t="inlineStr">
        <is>
          <t>/uː/ /u/</t>
        </is>
      </c>
      <c r="D15" s="3" t="inlineStr">
        <is>
          <t>you, room, truth</t>
        </is>
      </c>
      <c r="E15" s="8">
        <f>COUNTIF('③登録データ一覧'!$I:$I,A15)</f>
        <v/>
      </c>
    </row>
    <row r="16">
      <c r="A16" s="3" t="inlineStr">
        <is>
          <t>brown_cow</t>
        </is>
      </c>
      <c r="B16" s="9" t="inlineStr">
        <is>
          <t>BROWN COW</t>
        </is>
      </c>
      <c r="C16" s="3" t="inlineStr">
        <is>
          <t>/aʊ/</t>
        </is>
      </c>
      <c r="D16" s="3" t="inlineStr">
        <is>
          <t>cow, house, now</t>
        </is>
      </c>
      <c r="E16" s="8">
        <f>COUNTIF('③登録データ一覧'!$I:$I,A16)</f>
        <v/>
      </c>
    </row>
    <row r="17">
      <c r="A17" s="3" t="inlineStr">
        <is>
          <t>white_tie</t>
        </is>
      </c>
      <c r="B17" s="9" t="inlineStr">
        <is>
          <t>WHITE TIE</t>
        </is>
      </c>
      <c r="C17" s="3" t="inlineStr">
        <is>
          <t>/aɪ/</t>
        </is>
      </c>
      <c r="D17" s="3" t="inlineStr">
        <is>
          <t>by, night, like</t>
        </is>
      </c>
      <c r="E17" s="8">
        <f>COUNTIF('③登録データ一覧'!$I:$I,A17)</f>
        <v/>
      </c>
    </row>
    <row r="18">
      <c r="D18" s="9" t="inlineStr">
        <is>
          <t>合計</t>
        </is>
      </c>
      <c r="E18" s="11">
        <f>SUM(E2:E17)</f>
        <v/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2026-10-05T02:09:33Z</dcterms:created>
  <dcterms:modified xsi:type="dcterms:W3CDTF">2026-10-05T02:09:34Z</dcterms:modified>
</cp:coreProperties>
</file>